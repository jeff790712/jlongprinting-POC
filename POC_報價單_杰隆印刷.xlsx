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NT$&quot; #,##0"/>
  </numFmts>
  <fonts count="14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64748B"/>
      <sz val="10"/>
    </font>
    <font>
      <name val="微軟正黑體"/>
      <b val="1"/>
      <color rgb="00FFFFFF"/>
      <sz val="12"/>
    </font>
    <font>
      <name val="微軟正黑體"/>
      <b val="1"/>
      <sz val="10"/>
    </font>
    <font>
      <name val="微軟正黑體"/>
      <sz val="10"/>
    </font>
    <font>
      <name val="微軟正黑體"/>
      <b val="1"/>
      <color rgb="000F3460"/>
      <sz val="10"/>
    </font>
    <font>
      <name val="微軟正黑體"/>
      <b val="1"/>
      <color rgb="000F3460"/>
      <sz val="11"/>
    </font>
    <font>
      <name val="微軟正黑體"/>
      <b val="1"/>
      <color rgb="005B21B6"/>
      <sz val="10"/>
    </font>
    <font>
      <name val="微軟正黑體"/>
      <i val="1"/>
      <color rgb="0064748B"/>
      <sz val="10"/>
    </font>
    <font>
      <name val="微軟正黑體"/>
      <b val="1"/>
      <color rgb="00065F46"/>
      <sz val="10"/>
    </font>
    <font>
      <name val="微軟正黑體"/>
      <b val="1"/>
      <sz val="11"/>
    </font>
    <font>
      <name val="微軟正黑體"/>
      <b val="1"/>
      <color rgb="000F3460"/>
      <sz val="13"/>
    </font>
    <font>
      <name val="微軟正黑體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EF2FF"/>
      </patternFill>
    </fill>
    <fill>
      <patternFill patternType="solid">
        <fgColor rgb="00F7EF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left" vertical="center" indent="1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165" fontId="11" fillId="0" borderId="0" applyAlignment="1" pivotButton="0" quotePrefix="0" xfId="0">
      <alignment horizontal="right"/>
    </xf>
    <xf numFmtId="0" fontId="12" fillId="4" borderId="0" pivotButton="0" quotePrefix="0" xfId="0"/>
    <xf numFmtId="165" fontId="12" fillId="4" borderId="0" applyAlignment="1" pivotButton="0" quotePrefix="0" xfId="0">
      <alignment horizontal="right"/>
    </xf>
    <xf numFmtId="0" fontId="9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14" customWidth="1" min="4" max="4"/>
    <col width="16" customWidth="1" min="5" max="5"/>
  </cols>
  <sheetData>
    <row r="1" ht="38" customHeight="1">
      <c r="A1" s="1" t="inlineStr">
        <is>
          <t>Asgard AI × 杰隆印刷　POC 報價單</t>
        </is>
      </c>
    </row>
    <row r="2">
      <c r="A2" s="2" t="inlineStr">
        <is>
          <t>報價日期：2026-05-16</t>
        </is>
      </c>
      <c r="B2" s="2" t="inlineStr">
        <is>
          <t>有效期：30 日（自報價日起）</t>
        </is>
      </c>
      <c r="C2" s="2" t="inlineStr">
        <is>
          <t>案件編號：________</t>
        </is>
      </c>
      <c r="E2" s="2" t="inlineStr">
        <is>
          <t>聯絡人：________</t>
        </is>
      </c>
    </row>
    <row r="4" ht="24" customHeight="1">
      <c r="A4" s="3" t="inlineStr">
        <is>
          <t>[A] Asgard 平台訂閱費（持續性月費，與下方一次性費用分開）</t>
        </is>
      </c>
    </row>
    <row r="5">
      <c r="A5" s="4" t="inlineStr">
        <is>
          <t>方案</t>
        </is>
      </c>
      <c r="B5" s="5" t="inlineStr">
        <is>
          <t>Basic-Lite（依正式上線使用量可升級至 Regular NT$ 50,000/月 或 Plus NT$ 100,000/月）</t>
        </is>
      </c>
    </row>
    <row r="6">
      <c r="A6" s="4" t="inlineStr">
        <is>
          <t>月費</t>
        </is>
      </c>
      <c r="B6" s="5" t="inlineStr">
        <is>
          <t>NT$ 20,000 / 月</t>
        </is>
      </c>
    </row>
    <row r="7">
      <c r="A7" s="4" t="inlineStr">
        <is>
          <t>付款方式（擇一）</t>
        </is>
      </c>
    </row>
    <row r="8">
      <c r="A8" s="5" t="inlineStr">
        <is>
          <t xml:space="preserve">  ☐ 信用卡月扣</t>
        </is>
      </c>
      <c r="B8" s="2" t="inlineStr">
        <is>
          <t>NT$ 20,000 / 月（每月自動扣款）</t>
        </is>
      </c>
    </row>
    <row r="9">
      <c r="A9" s="5" t="inlineStr">
        <is>
          <t xml:space="preserve">  ☐ 年付開立發票</t>
        </is>
      </c>
      <c r="B9" s="2" t="inlineStr">
        <is>
          <t>NT$ 240,000 / 年（一次開立，預付一年）</t>
        </is>
      </c>
    </row>
    <row r="11" ht="24" customHeight="1">
      <c r="A11" s="3" t="inlineStr">
        <is>
          <t>[B] 一次性 POC 導入服務（4-6 週，單價 NT$ 20,000 / 人天 = 8 小時）</t>
        </is>
      </c>
    </row>
    <row r="12" ht="22" customHeight="1">
      <c r="A12" s="6" t="inlineStr">
        <is>
          <t>項目</t>
        </is>
      </c>
      <c r="B12" s="6" t="inlineStr">
        <is>
          <t>工作內容</t>
        </is>
      </c>
      <c r="C12" s="6" t="inlineStr">
        <is>
          <t>人天</t>
        </is>
      </c>
      <c r="D12" s="6" t="inlineStr">
        <is>
          <t>單價</t>
        </is>
      </c>
      <c r="E12" s="6" t="inlineStr">
        <is>
          <t>小計</t>
        </is>
      </c>
    </row>
    <row r="13" ht="22" customHeight="1">
      <c r="A13" s="7" t="inlineStr">
        <is>
          <t>──── W1-W2  Phase A：基礎架構 + DB Schema + AP Server 部署 ────</t>
        </is>
      </c>
    </row>
    <row r="14">
      <c r="A14" s="5" t="inlineStr">
        <is>
          <t>雲端環境規劃與建置</t>
        </is>
      </c>
      <c r="B14" s="2" t="inlineStr">
        <is>
          <t>GCP / AWS 帳號設定、VPC、IAM、Secret 管理</t>
        </is>
      </c>
      <c r="C14" s="8" t="n">
        <v>0.5</v>
      </c>
      <c r="D14" s="9" t="n">
        <v>20000</v>
      </c>
      <c r="E14" s="9">
        <f>C14*D14</f>
        <v/>
      </c>
    </row>
    <row r="15">
      <c r="A15" s="5" t="inlineStr">
        <is>
          <t>DB Schema 設計與建置</t>
        </is>
      </c>
      <c r="B15" s="2" t="inlineStr">
        <is>
          <t>訂單草稿 / 客戶 / 對話紀錄 / 知識庫 schema</t>
        </is>
      </c>
      <c r="C15" s="8" t="n">
        <v>1</v>
      </c>
      <c r="D15" s="9" t="n">
        <v>20000</v>
      </c>
      <c r="E15" s="9">
        <f>C15*D15</f>
        <v/>
      </c>
    </row>
    <row r="16">
      <c r="A16" s="5" t="inlineStr">
        <is>
          <t>AP Server 部署</t>
        </is>
      </c>
      <c r="B16" s="2" t="inlineStr">
        <is>
          <t>後端服務容器化、反向代理、TLS 設定</t>
        </is>
      </c>
      <c r="C16" s="8" t="n">
        <v>1</v>
      </c>
      <c r="D16" s="9" t="n">
        <v>20000</v>
      </c>
      <c r="E16" s="9">
        <f>C16*D16</f>
        <v/>
      </c>
    </row>
    <row r="17">
      <c r="A17" s="5" t="inlineStr">
        <is>
          <t>CI/CD 與基本監控初始化</t>
        </is>
      </c>
      <c r="B17" s="2" t="inlineStr">
        <is>
          <t>GitHub Actions、Log/Error 監控初始化</t>
        </is>
      </c>
      <c r="C17" s="8" t="n">
        <v>0.5</v>
      </c>
      <c r="D17" s="9" t="n">
        <v>20000</v>
      </c>
      <c r="E17" s="9">
        <f>C17*D17</f>
        <v/>
      </c>
    </row>
    <row r="18">
      <c r="A18" s="4" t="inlineStr">
        <is>
          <t>Phase A 階段小計</t>
        </is>
      </c>
      <c r="E18" s="10">
        <f>SUM(E14:E17)</f>
        <v/>
      </c>
    </row>
    <row r="19" ht="22" customHeight="1">
      <c r="A19" s="7" t="inlineStr">
        <is>
          <t>──── W3-W4  Phase B：核心對話流 + Odin 工作流建置 ────</t>
        </is>
      </c>
    </row>
    <row r="20">
      <c r="A20" s="5" t="inlineStr">
        <is>
          <t>Odin 工作流設計</t>
        </is>
      </c>
      <c r="B20" s="2" t="inlineStr">
        <is>
          <t>接單主流程、條件分支、轉接邏輯（於 Odin Studio 內設計）</t>
        </is>
      </c>
      <c r="C20" s="8" t="n">
        <v>1</v>
      </c>
      <c r="D20" s="9" t="n">
        <v>20000</v>
      </c>
      <c r="E20" s="9">
        <f>C20*D20</f>
        <v/>
      </c>
    </row>
    <row r="21">
      <c r="A21" s="5" t="inlineStr">
        <is>
          <t>對話 Prompt 與欄位偵測邏輯</t>
        </is>
      </c>
      <c r="B21" s="2" t="inlineStr">
        <is>
          <t>LLM Prompt 工程、欄位缺口偵測、白話追問生成</t>
        </is>
      </c>
      <c r="C21" s="8" t="n">
        <v>1</v>
      </c>
      <c r="D21" s="9" t="n">
        <v>20000</v>
      </c>
      <c r="E21" s="9">
        <f>C21*D21</f>
        <v/>
      </c>
    </row>
    <row r="22">
      <c r="A22" s="5" t="inlineStr">
        <is>
          <t>Chatbot 前端 UI 開發</t>
        </is>
      </c>
      <c r="B22" s="2" t="inlineStr">
        <is>
          <t>嵌入式對話框、訊息流、模擬圖預覽元件</t>
        </is>
      </c>
      <c r="C22" s="8" t="n">
        <v>1</v>
      </c>
      <c r="D22" s="9" t="n">
        <v>20000</v>
      </c>
      <c r="E22" s="9">
        <f>C22*D22</f>
        <v/>
      </c>
    </row>
    <row r="23">
      <c r="A23" s="5" t="inlineStr">
        <is>
          <t>Session 管理 + 訂單草稿 API</t>
        </is>
      </c>
      <c r="B23" s="2" t="inlineStr">
        <is>
          <t>Session 持久化、訂單 JSON schema、後端 API</t>
        </is>
      </c>
      <c r="C23" s="8" t="n">
        <v>1</v>
      </c>
      <c r="D23" s="9" t="n">
        <v>20000</v>
      </c>
      <c r="E23" s="9">
        <f>C23*D23</f>
        <v/>
      </c>
    </row>
    <row r="24">
      <c r="A24" s="4" t="inlineStr">
        <is>
          <t>Phase B 階段小計</t>
        </is>
      </c>
      <c r="E24" s="10">
        <f>SUM(E20:E23)</f>
        <v/>
      </c>
    </row>
    <row r="25" ht="22" customHeight="1">
      <c r="A25" s="7" t="inlineStr">
        <is>
          <t>──── W5-W6  Phase C：進階功能 + UAT + 教育訓練 ────</t>
        </is>
      </c>
    </row>
    <row r="26">
      <c r="A26" s="5" t="inlineStr">
        <is>
          <t>圖檔上傳解析</t>
        </is>
      </c>
      <c r="B26" s="2" t="inlineStr">
        <is>
          <t>LLM Vision 串接、設計稿色數與尺寸建議</t>
        </is>
      </c>
      <c r="C26" s="8" t="n">
        <v>0.5</v>
      </c>
      <c r="D26" s="9" t="n">
        <v>20000</v>
      </c>
      <c r="E26" s="9">
        <f>C26*D26</f>
        <v/>
      </c>
    </row>
    <row r="27">
      <c r="A27" s="5" t="inlineStr">
        <is>
          <t>AI 模擬圖生成</t>
        </is>
      </c>
      <c r="B27" s="2" t="inlineStr">
        <is>
          <t>Image Gen API 串接、貼標情境圖輸出</t>
        </is>
      </c>
      <c r="C27" s="8" t="n">
        <v>0.5</v>
      </c>
      <c r="D27" s="9" t="n">
        <v>20000</v>
      </c>
      <c r="E27" s="9">
        <f>C27*D27</f>
        <v/>
      </c>
    </row>
    <row r="28">
      <c r="A28" s="5" t="inlineStr">
        <is>
          <t>舊客識別查詢</t>
        </is>
      </c>
      <c r="B28" s="2" t="inlineStr">
        <is>
          <t>Email / 電話比對、歷史訂單帶入流程</t>
        </is>
      </c>
      <c r="C28" s="8" t="n">
        <v>0.5</v>
      </c>
      <c r="D28" s="9" t="n">
        <v>20000</v>
      </c>
      <c r="E28" s="9">
        <f>C28*D28</f>
        <v/>
      </c>
    </row>
    <row r="29">
      <c r="A29" s="5" t="inlineStr">
        <is>
          <t>情緒偵測 + 真人轉接通知</t>
        </is>
      </c>
      <c r="B29" s="2" t="inlineStr">
        <is>
          <t>情緒分類、Email / LINE Webhook 通知</t>
        </is>
      </c>
      <c r="C29" s="8" t="n">
        <v>0.5</v>
      </c>
      <c r="D29" s="9" t="n">
        <v>20000</v>
      </c>
      <c r="E29" s="9">
        <f>C29*D29</f>
        <v/>
      </c>
    </row>
    <row r="30">
      <c r="A30" s="5" t="inlineStr">
        <is>
          <t>UAT 支援 + 上線部署</t>
        </is>
      </c>
      <c r="B30" s="2" t="inlineStr">
        <is>
          <t>Bug 修正、上線切換、煙霧測試</t>
        </is>
      </c>
      <c r="C30" s="8" t="n">
        <v>0.5</v>
      </c>
      <c r="D30" s="9" t="n">
        <v>20000</v>
      </c>
      <c r="E30" s="9">
        <f>C30*D30</f>
        <v/>
      </c>
    </row>
    <row r="31">
      <c r="A31" s="5" t="inlineStr">
        <is>
          <t>教育訓練與文件交付</t>
        </is>
      </c>
      <c r="B31" s="2" t="inlineStr">
        <is>
          <t>業務操作訓練（1 小時）、技術交接文件</t>
        </is>
      </c>
      <c r="C31" s="8" t="n">
        <v>0.5</v>
      </c>
      <c r="D31" s="9" t="n">
        <v>20000</v>
      </c>
      <c r="E31" s="9">
        <f>C31*D31</f>
        <v/>
      </c>
    </row>
    <row r="32">
      <c r="A32" s="4" t="inlineStr">
        <is>
          <t>Phase C 階段小計</t>
        </is>
      </c>
      <c r="E32" s="10">
        <f>SUM(E26:E31)</f>
        <v/>
      </c>
    </row>
    <row r="34" ht="24" customHeight="1">
      <c r="A34" s="3" t="inlineStr">
        <is>
          <t>[C] Phase 2 進階模組（另行報價，不計入本次總價）</t>
        </is>
      </c>
    </row>
    <row r="35">
      <c r="A35" s="11" t="inlineStr">
        <is>
          <t>Sindri Agent Hub</t>
        </is>
      </c>
      <c r="B35" s="2" t="inlineStr">
        <is>
          <t>多 Agent 編排（取代 Phase 1 由 Odin + 客製化程式組成的單一 LLM 對話）</t>
        </is>
      </c>
      <c r="E35" s="12" t="inlineStr">
        <is>
          <t>另行報價</t>
        </is>
      </c>
    </row>
    <row r="36">
      <c r="A36" s="13" t="inlineStr">
        <is>
          <t>Mimir Data Insight</t>
        </is>
      </c>
      <c r="B36" s="2" t="inlineStr">
        <is>
          <t>數據洞察儀表板（取代 Phase 1 的基本 DB 報表）</t>
        </is>
      </c>
      <c r="E36" s="12" t="inlineStr">
        <is>
          <t>另行報價</t>
        </is>
      </c>
    </row>
    <row r="38" ht="24" customHeight="1">
      <c r="A38" s="3" t="inlineStr">
        <is>
          <t>[D] 一次性 POC 導入服務 加總</t>
        </is>
      </c>
    </row>
    <row r="39">
      <c r="A39" s="14" t="inlineStr">
        <is>
          <t>一次性導入服務小計（未稅）</t>
        </is>
      </c>
      <c r="E39" s="15">
        <f>E18+E24+E32</f>
        <v/>
      </c>
    </row>
    <row r="40">
      <c r="A40" s="14" t="inlineStr">
        <is>
          <t>營業稅 5%</t>
        </is>
      </c>
      <c r="E40" s="15">
        <f>ROUND(E39*0.05,0)</f>
        <v/>
      </c>
    </row>
    <row r="41" ht="28" customHeight="1">
      <c r="A41" s="16" t="inlineStr">
        <is>
          <t>含稅總價</t>
        </is>
      </c>
      <c r="E41" s="17">
        <f>E39+E40</f>
        <v/>
      </c>
    </row>
    <row r="42">
      <c r="A42" s="18" t="inlineStr">
        <is>
          <t>★ 本份總價僅為 POC 一次性導入服務費用；Asgard 平台訂閱費另計（見 [A] 區）</t>
        </is>
      </c>
    </row>
    <row r="44" ht="24" customHeight="1">
      <c r="A44" s="3" t="inlineStr">
        <is>
          <t>[E] 備註</t>
        </is>
      </c>
    </row>
    <row r="45">
      <c r="A45" s="19" t="inlineStr">
        <is>
          <t>假設與排除：</t>
        </is>
      </c>
    </row>
    <row r="46">
      <c r="A46" s="2" t="inlineStr">
        <is>
          <t xml:space="preserve">  1. 不含杰隆印刷既有 ERP / 生產系統的整合與對接</t>
        </is>
      </c>
    </row>
    <row r="47">
      <c r="A47" s="2" t="inlineStr">
        <is>
          <t xml:space="preserve">  2. 不含 LINE 官方帳號 / FB Messenger 等通道串接（Phase 2 規劃）</t>
        </is>
      </c>
    </row>
    <row r="48">
      <c r="A48" s="2" t="inlineStr">
        <is>
          <t xml:space="preserve">  3. 不含自動報價計算邏輯（需杰隆提供定價模型）</t>
        </is>
      </c>
    </row>
    <row r="49">
      <c r="A49" s="2" t="inlineStr">
        <is>
          <t xml:space="preserve">  4. 雲端基礎設施費用（GCP / AWS）由客戶以實際使用量支付</t>
        </is>
      </c>
    </row>
    <row r="50">
      <c r="A50" s="2" t="inlineStr"/>
    </row>
    <row r="51">
      <c r="A51" s="19" t="inlineStr">
        <is>
          <t>付款條件建議：簽約 30% / 中期驗收 40% / 最終驗收 30%</t>
        </is>
      </c>
    </row>
    <row r="52">
      <c r="A52" s="19" t="inlineStr">
        <is>
          <t>報價有效期：自報價日起 30 日</t>
        </is>
      </c>
    </row>
    <row r="54">
      <c r="A54" s="5" t="inlineStr">
        <is>
          <t>客戶簽章：______________________</t>
        </is>
      </c>
      <c r="C54" s="5" t="inlineStr">
        <is>
          <t>日期：______________</t>
        </is>
      </c>
    </row>
    <row r="55">
      <c r="A55" s="5" t="inlineStr">
        <is>
          <t>Asgard AI：______________________</t>
        </is>
      </c>
      <c r="C55" s="5" t="inlineStr">
        <is>
          <t>日期：______________</t>
        </is>
      </c>
    </row>
  </sheetData>
  <mergeCells count="10">
    <mergeCell ref="A34:E34"/>
    <mergeCell ref="A4:E4"/>
    <mergeCell ref="A38:E38"/>
    <mergeCell ref="A25:E25"/>
    <mergeCell ref="A42:E42"/>
    <mergeCell ref="A19:E19"/>
    <mergeCell ref="A11:E11"/>
    <mergeCell ref="A1:E1"/>
    <mergeCell ref="A13:E13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2026-05-16T06:12:06Z</dcterms:created>
  <dcterms:modified xmlns:dcterms="http://purl.org/dc/terms/" xmlns:xsi="http://www.w3.org/2001/XMLSchema-instance" xsi:type="dcterms:W3CDTF">2026-05-16T06:12:06Z</dcterms:modified>
</cp:coreProperties>
</file>